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.castillo\Pictures\"/>
    </mc:Choice>
  </mc:AlternateContent>
  <xr:revisionPtr revIDLastSave="0" documentId="13_ncr:1_{FDDDA86E-22E6-40BE-9BD4-1E9ADCE3738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oja1" sheetId="1" r:id="rId1"/>
    <sheet name="Peru y Chile" sheetId="2" r:id="rId2"/>
    <sheet name="Final" sheetId="3" r:id="rId3"/>
  </sheets>
  <definedNames>
    <definedName name="_xlnm._FilterDatabase" localSheetId="2" hidden="1">Final!$A$1:$F$49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24" i="1"/>
  <c r="J20" i="1"/>
  <c r="J19" i="1"/>
  <c r="J12" i="1"/>
  <c r="J13" i="1"/>
  <c r="J14" i="1"/>
  <c r="J15" i="1"/>
  <c r="J11" i="1"/>
  <c r="J4" i="1"/>
  <c r="J5" i="1"/>
  <c r="J6" i="1"/>
  <c r="J3" i="1"/>
  <c r="G24" i="1"/>
  <c r="G20" i="1"/>
  <c r="G19" i="1"/>
  <c r="G12" i="1"/>
  <c r="G13" i="1"/>
  <c r="G14" i="1"/>
  <c r="G15" i="1"/>
  <c r="G11" i="1"/>
  <c r="G4" i="1"/>
  <c r="G5" i="1"/>
  <c r="G6" i="1"/>
  <c r="G7" i="1"/>
  <c r="G3" i="1"/>
  <c r="D24" i="1"/>
  <c r="D20" i="1"/>
  <c r="D19" i="1"/>
  <c r="D12" i="1"/>
  <c r="D13" i="1"/>
  <c r="D14" i="1"/>
  <c r="D15" i="1"/>
  <c r="D11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<sst xmlns="http://schemas.openxmlformats.org/spreadsheetml/2006/main" count="238" uniqueCount="32">
  <si>
    <t>ACC</t>
  </si>
  <si>
    <t>Recaudo</t>
  </si>
  <si>
    <t>Meta</t>
  </si>
  <si>
    <t>Ejecución</t>
  </si>
  <si>
    <t>JCAP</t>
  </si>
  <si>
    <t>PRAGROUP</t>
  </si>
  <si>
    <t>ADAMANTINE</t>
  </si>
  <si>
    <t>ACCION</t>
  </si>
  <si>
    <t>INTERASEO</t>
  </si>
  <si>
    <t>NPL</t>
  </si>
  <si>
    <t>BANCOOMEVA</t>
  </si>
  <si>
    <t>IFC</t>
  </si>
  <si>
    <t>PA</t>
  </si>
  <si>
    <t>TUYA</t>
  </si>
  <si>
    <t>CREDIVALORES</t>
  </si>
  <si>
    <t>NPL PERU</t>
  </si>
  <si>
    <t>PROPIA</t>
  </si>
  <si>
    <t>NPL CHILE</t>
  </si>
  <si>
    <t>Septiembre</t>
  </si>
  <si>
    <t>Octubre</t>
  </si>
  <si>
    <t>Noviembre</t>
  </si>
  <si>
    <t>Campaña</t>
  </si>
  <si>
    <t>AÑO_MES</t>
  </si>
  <si>
    <t>DIA HABIL</t>
  </si>
  <si>
    <t xml:space="preserve"> VALOR RECAUDO </t>
  </si>
  <si>
    <t>INVERSIONISTA</t>
  </si>
  <si>
    <t>Peru</t>
  </si>
  <si>
    <t>2025-09</t>
  </si>
  <si>
    <t>2025-10</t>
  </si>
  <si>
    <t>2025-11</t>
  </si>
  <si>
    <t>Chile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</si>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</sst>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7" formatCode="&quot;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scheme val="minor"/>
    </font>
    <font>
      <sz val="11"/>
      <color rgb="FF000000"/>
      <name val="Calibri"/>
    </font>
    <font>
      <b/>
      <sz val="11"/>
      <color theme="0"/>
      <name val="Aptos Narrow"/>
      <scheme val="minor"/>
    </font>
    <font>
      <u/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4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44" fontId="0" fillId="0" borderId="4" xfId="3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6" fontId="4" fillId="0" borderId="4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7" fontId="4" fillId="0" borderId="4" xfId="1" applyNumberFormat="1" applyFont="1" applyBorder="1" applyAlignment="1">
      <alignment horizontal="center"/>
    </xf>
    <xf numFmtId="6" fontId="6" fillId="0" borderId="4" xfId="0" applyNumberFormat="1" applyFont="1" applyBorder="1" applyAlignment="1">
      <alignment horizontal="center"/>
    </xf>
    <xf numFmtId="6" fontId="6" fillId="0" borderId="4" xfId="0" applyNumberFormat="1" applyFont="1" applyBorder="1"/>
    <xf numFmtId="0" fontId="7" fillId="0" borderId="0" xfId="0" applyFont="1"/>
  </cellXfs>
  <cellStyles count="4">
    <cellStyle name="Moneda" xfId="1" builtinId="4"/>
    <cellStyle name="Moneda 2" xfId="3" xr:uid="{00000000-0005-0000-0000-000003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H3" sqref="H3"/>
    </sheetView>
  </sheetViews>
  <sheetFormatPr baseColWidth="10" defaultRowHeight="15" x14ac:dyDescent="0.25"/>
  <cols>
    <col min="1" max="1" width="14.140625" bestFit="1" customWidth="1"/>
    <col min="2" max="2" width="18.28515625" bestFit="1" customWidth="1"/>
    <col min="3" max="3" width="18.28515625" customWidth="1"/>
    <col min="4" max="5" width="18.28515625" bestFit="1" customWidth="1"/>
    <col min="6" max="6" width="18.28515625" customWidth="1"/>
    <col min="7" max="8" width="18.28515625" bestFit="1" customWidth="1"/>
    <col min="9" max="9" width="18.28515625" customWidth="1"/>
  </cols>
  <sheetData>
    <row r="1" spans="1:10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x14ac:dyDescent="0.25"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  <c r="G2" s="2" t="s">
        <v>3</v>
      </c>
      <c r="H2" s="2" t="s">
        <v>1</v>
      </c>
      <c r="I2" s="2" t="s">
        <v>2</v>
      </c>
      <c r="J2" s="2" t="s">
        <v>3</v>
      </c>
    </row>
    <row r="3" spans="1:10" x14ac:dyDescent="0.25">
      <c r="A3" s="3" t="s">
        <v>4</v>
      </c>
      <c r="B3" s="4">
        <v>3636114968</v>
      </c>
      <c r="C3" s="4">
        <v>3700944923</v>
      </c>
      <c r="D3" s="5">
        <f>+B3/C3</f>
        <v>0.98248286414717878</v>
      </c>
      <c r="E3" s="6">
        <v>3854192693.893456</v>
      </c>
      <c r="F3" s="4">
        <v>4171970395</v>
      </c>
      <c r="G3" s="5">
        <f>+E3/F3</f>
        <v>0.92383030773962527</v>
      </c>
      <c r="H3" s="4">
        <v>4562317336</v>
      </c>
      <c r="I3" s="4">
        <v>4370817534</v>
      </c>
      <c r="J3" s="5">
        <f>+H3/I3</f>
        <v>1.0438132684584402</v>
      </c>
    </row>
    <row r="4" spans="1:10" x14ac:dyDescent="0.25">
      <c r="A4" s="3" t="s">
        <v>5</v>
      </c>
      <c r="B4" s="4">
        <v>526995026</v>
      </c>
      <c r="C4" s="4">
        <v>731000000</v>
      </c>
      <c r="D4" s="5">
        <f t="shared" ref="D4:D7" si="0">+B4/C4</f>
        <v>0.72092342818057453</v>
      </c>
      <c r="E4" s="4">
        <v>406519983</v>
      </c>
      <c r="F4" s="4">
        <v>544312563</v>
      </c>
      <c r="G4" s="5">
        <f t="shared" ref="G4:G7" si="1">+E4/F4</f>
        <v>0.74685026698529466</v>
      </c>
      <c r="H4" s="4">
        <v>433822660</v>
      </c>
      <c r="I4" s="4">
        <v>536914905</v>
      </c>
      <c r="J4" s="5">
        <f t="shared" ref="J4:J7" si="2">+H4/I4</f>
        <v>0.80799146374973518</v>
      </c>
    </row>
    <row r="5" spans="1:10" x14ac:dyDescent="0.25">
      <c r="A5" s="3" t="s">
        <v>6</v>
      </c>
      <c r="B5" s="4">
        <v>446925778</v>
      </c>
      <c r="C5" s="4">
        <v>526000000</v>
      </c>
      <c r="D5" s="5">
        <f t="shared" si="0"/>
        <v>0.8496687794676806</v>
      </c>
      <c r="E5" s="4">
        <v>402966000</v>
      </c>
      <c r="F5" s="4">
        <v>526000000</v>
      </c>
      <c r="G5" s="5">
        <f t="shared" si="1"/>
        <v>0.76609505703422054</v>
      </c>
      <c r="H5" s="4">
        <v>326000000</v>
      </c>
      <c r="I5" s="4">
        <v>460000000</v>
      </c>
      <c r="J5" s="5">
        <f t="shared" si="2"/>
        <v>0.70869565217391306</v>
      </c>
    </row>
    <row r="6" spans="1:10" x14ac:dyDescent="0.25">
      <c r="A6" s="3" t="s">
        <v>7</v>
      </c>
      <c r="B6" s="4">
        <v>1762093836</v>
      </c>
      <c r="C6" s="4">
        <v>2198486351</v>
      </c>
      <c r="D6" s="5">
        <f t="shared" si="0"/>
        <v>0.80150319568665818</v>
      </c>
      <c r="E6" s="4">
        <v>1980786257</v>
      </c>
      <c r="F6" s="4">
        <v>2198486351</v>
      </c>
      <c r="G6" s="5">
        <f t="shared" si="1"/>
        <v>0.9009772819826799</v>
      </c>
      <c r="H6" s="4">
        <v>1664661729</v>
      </c>
      <c r="I6" s="4">
        <v>2198486351</v>
      </c>
      <c r="J6" s="5">
        <f t="shared" si="2"/>
        <v>0.7571853826805951</v>
      </c>
    </row>
    <row r="7" spans="1:10" x14ac:dyDescent="0.25">
      <c r="A7" s="3" t="s">
        <v>8</v>
      </c>
      <c r="B7" s="4">
        <v>398022988.5</v>
      </c>
      <c r="C7" s="4">
        <v>442000000</v>
      </c>
      <c r="D7" s="5">
        <f t="shared" si="0"/>
        <v>0.90050449886877826</v>
      </c>
      <c r="E7" s="4">
        <v>407150732.18000001</v>
      </c>
      <c r="F7" s="4">
        <v>442000000</v>
      </c>
      <c r="G7" s="5">
        <f t="shared" si="1"/>
        <v>0.92115550266968327</v>
      </c>
      <c r="H7" s="7">
        <v>402586860.34000003</v>
      </c>
      <c r="I7" s="4">
        <v>442000000</v>
      </c>
      <c r="J7" s="5">
        <f t="shared" si="2"/>
        <v>0.91083000076923082</v>
      </c>
    </row>
    <row r="9" spans="1:10" x14ac:dyDescent="0.25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9"/>
    </row>
    <row r="10" spans="1:10" x14ac:dyDescent="0.25">
      <c r="A10" s="3"/>
      <c r="B10" s="2" t="s">
        <v>1</v>
      </c>
      <c r="C10" s="2" t="s">
        <v>2</v>
      </c>
      <c r="D10" s="2" t="s">
        <v>3</v>
      </c>
      <c r="E10" s="2" t="s">
        <v>1</v>
      </c>
      <c r="F10" s="2" t="s">
        <v>2</v>
      </c>
      <c r="G10" s="2" t="s">
        <v>3</v>
      </c>
      <c r="H10" s="2" t="s">
        <v>1</v>
      </c>
      <c r="I10" s="2" t="s">
        <v>2</v>
      </c>
      <c r="J10" s="2" t="s">
        <v>3</v>
      </c>
    </row>
    <row r="11" spans="1:10" x14ac:dyDescent="0.25">
      <c r="A11" s="3" t="s">
        <v>10</v>
      </c>
      <c r="B11" s="3"/>
      <c r="C11" s="3"/>
      <c r="D11" s="5" t="e">
        <f t="shared" ref="D11:D15" si="3">+B11/C11</f>
        <v>#DIV/0!</v>
      </c>
      <c r="E11" s="3"/>
      <c r="F11" s="3"/>
      <c r="G11" s="5" t="e">
        <f t="shared" ref="G11:G15" si="4">+E11/F11</f>
        <v>#DIV/0!</v>
      </c>
      <c r="H11" s="3"/>
      <c r="I11" s="3"/>
      <c r="J11" s="5" t="e">
        <f t="shared" ref="J11:J15" si="5">+H11/I11</f>
        <v>#DIV/0!</v>
      </c>
    </row>
    <row r="12" spans="1:10" x14ac:dyDescent="0.25">
      <c r="A12" s="3" t="s">
        <v>11</v>
      </c>
      <c r="B12" s="3"/>
      <c r="C12" s="3"/>
      <c r="D12" s="5" t="e">
        <f t="shared" si="3"/>
        <v>#DIV/0!</v>
      </c>
      <c r="E12" s="3"/>
      <c r="F12" s="3"/>
      <c r="G12" s="5" t="e">
        <f t="shared" si="4"/>
        <v>#DIV/0!</v>
      </c>
      <c r="H12" s="3"/>
      <c r="I12" s="3"/>
      <c r="J12" s="5" t="e">
        <f t="shared" si="5"/>
        <v>#DIV/0!</v>
      </c>
    </row>
    <row r="13" spans="1:10" x14ac:dyDescent="0.25">
      <c r="A13" s="3" t="s">
        <v>12</v>
      </c>
      <c r="B13" s="3"/>
      <c r="C13" s="3"/>
      <c r="D13" s="5" t="e">
        <f t="shared" si="3"/>
        <v>#DIV/0!</v>
      </c>
      <c r="E13" s="3"/>
      <c r="F13" s="3"/>
      <c r="G13" s="5" t="e">
        <f t="shared" si="4"/>
        <v>#DIV/0!</v>
      </c>
      <c r="H13" s="3"/>
      <c r="I13" s="3"/>
      <c r="J13" s="5" t="e">
        <f t="shared" si="5"/>
        <v>#DIV/0!</v>
      </c>
    </row>
    <row r="14" spans="1:10" x14ac:dyDescent="0.25">
      <c r="A14" s="3" t="s">
        <v>13</v>
      </c>
      <c r="B14" s="3"/>
      <c r="C14" s="3"/>
      <c r="D14" s="5" t="e">
        <f t="shared" si="3"/>
        <v>#DIV/0!</v>
      </c>
      <c r="E14" s="3"/>
      <c r="F14" s="3"/>
      <c r="G14" s="5" t="e">
        <f t="shared" si="4"/>
        <v>#DIV/0!</v>
      </c>
      <c r="H14" s="3"/>
      <c r="I14" s="3"/>
      <c r="J14" s="5" t="e">
        <f t="shared" si="5"/>
        <v>#DIV/0!</v>
      </c>
    </row>
    <row r="15" spans="1:10" x14ac:dyDescent="0.25">
      <c r="A15" s="3" t="s">
        <v>14</v>
      </c>
      <c r="B15" s="8">
        <v>858936494</v>
      </c>
      <c r="C15" s="9">
        <v>742821275</v>
      </c>
      <c r="D15" s="5">
        <f t="shared" si="3"/>
        <v>1.1563164961854384</v>
      </c>
      <c r="E15" s="8">
        <v>777000000</v>
      </c>
      <c r="F15" s="8">
        <v>735760951</v>
      </c>
      <c r="G15" s="5">
        <f t="shared" si="4"/>
        <v>1.0560495211711773</v>
      </c>
      <c r="H15" s="8">
        <v>550662167.20000005</v>
      </c>
      <c r="I15" s="10">
        <v>728636665</v>
      </c>
      <c r="J15" s="5">
        <f t="shared" si="5"/>
        <v>0.75574314833580336</v>
      </c>
    </row>
    <row r="17" spans="1:10" x14ac:dyDescent="0.25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9"/>
    </row>
    <row r="18" spans="1:10" x14ac:dyDescent="0.25">
      <c r="A18" s="3"/>
      <c r="B18" s="2" t="s">
        <v>1</v>
      </c>
      <c r="C18" s="2" t="s">
        <v>2</v>
      </c>
      <c r="D18" s="2" t="s">
        <v>3</v>
      </c>
      <c r="E18" s="2" t="s">
        <v>1</v>
      </c>
      <c r="F18" s="2" t="s">
        <v>2</v>
      </c>
      <c r="G18" s="2" t="s">
        <v>3</v>
      </c>
      <c r="H18" s="2" t="s">
        <v>1</v>
      </c>
      <c r="I18" s="2" t="s">
        <v>2</v>
      </c>
      <c r="J18" s="2" t="s">
        <v>3</v>
      </c>
    </row>
    <row r="19" spans="1:10" x14ac:dyDescent="0.25">
      <c r="A19" s="3" t="s">
        <v>11</v>
      </c>
      <c r="B19" s="4">
        <v>195664</v>
      </c>
      <c r="C19" s="4">
        <v>686306</v>
      </c>
      <c r="D19" s="5">
        <f t="shared" ref="D19:D20" si="6">+B19/C19</f>
        <v>0.28509731810591776</v>
      </c>
      <c r="E19" s="4">
        <v>255321</v>
      </c>
      <c r="F19" s="4">
        <v>679443</v>
      </c>
      <c r="G19" s="5">
        <f t="shared" ref="G19:G20" si="7">+E19/F19</f>
        <v>0.37577986674378866</v>
      </c>
      <c r="H19" s="4">
        <v>344047.16999999993</v>
      </c>
      <c r="I19" s="4">
        <v>673134.00898054568</v>
      </c>
      <c r="J19" s="5">
        <f t="shared" ref="J19:J20" si="8">+H19/I19</f>
        <v>0.51111244627359675</v>
      </c>
    </row>
    <row r="20" spans="1:10" x14ac:dyDescent="0.25">
      <c r="A20" s="3" t="s">
        <v>16</v>
      </c>
      <c r="B20" s="4">
        <v>17095</v>
      </c>
      <c r="C20" s="4">
        <v>36121</v>
      </c>
      <c r="D20" s="5">
        <f t="shared" si="6"/>
        <v>0.47327039672212839</v>
      </c>
      <c r="E20" s="4">
        <v>51859</v>
      </c>
      <c r="F20" s="4">
        <v>35760</v>
      </c>
      <c r="G20" s="5">
        <f t="shared" si="7"/>
        <v>1.4501957494407158</v>
      </c>
      <c r="H20" s="4">
        <v>28111.68</v>
      </c>
      <c r="I20" s="4">
        <v>34916.703075608602</v>
      </c>
      <c r="J20" s="5">
        <f t="shared" si="8"/>
        <v>0.80510694091383683</v>
      </c>
    </row>
    <row r="21" spans="1:10" x14ac:dyDescent="0.25">
      <c r="B21" s="4"/>
    </row>
    <row r="22" spans="1:10" x14ac:dyDescent="0.25">
      <c r="A22" s="17" t="s">
        <v>17</v>
      </c>
      <c r="B22" s="18"/>
      <c r="C22" s="18"/>
      <c r="D22" s="18"/>
      <c r="E22" s="18"/>
      <c r="F22" s="18"/>
      <c r="G22" s="18"/>
      <c r="H22" s="18"/>
      <c r="I22" s="18"/>
      <c r="J22" s="19"/>
    </row>
    <row r="23" spans="1:10" x14ac:dyDescent="0.25">
      <c r="A23" s="3"/>
      <c r="B23" s="2" t="s">
        <v>1</v>
      </c>
      <c r="C23" s="2" t="s">
        <v>2</v>
      </c>
      <c r="D23" s="2" t="s">
        <v>3</v>
      </c>
      <c r="E23" s="2" t="s">
        <v>1</v>
      </c>
      <c r="F23" s="2" t="s">
        <v>2</v>
      </c>
      <c r="G23" s="2" t="s">
        <v>3</v>
      </c>
      <c r="H23" s="2" t="s">
        <v>1</v>
      </c>
      <c r="I23" s="2" t="s">
        <v>2</v>
      </c>
      <c r="J23" s="2" t="s">
        <v>3</v>
      </c>
    </row>
    <row r="24" spans="1:10" x14ac:dyDescent="0.25">
      <c r="A24" s="3" t="s">
        <v>11</v>
      </c>
      <c r="B24" s="4">
        <v>34696116</v>
      </c>
      <c r="C24" s="4">
        <v>59656226</v>
      </c>
      <c r="D24" s="5">
        <f t="shared" ref="D24" si="9">+B24/C24</f>
        <v>0.58160092125170637</v>
      </c>
      <c r="E24" s="4">
        <v>24413707</v>
      </c>
      <c r="F24" s="4">
        <v>57326908</v>
      </c>
      <c r="G24" s="5">
        <f t="shared" ref="G24" si="10">+E24/F24</f>
        <v>0.42586819788012986</v>
      </c>
      <c r="H24" s="4">
        <v>31541772</v>
      </c>
      <c r="I24" s="4">
        <v>56236004.999999978</v>
      </c>
      <c r="J24" s="5">
        <f t="shared" ref="J24" si="11">+H24/I24</f>
        <v>0.56088216081494435</v>
      </c>
    </row>
  </sheetData>
  <mergeCells count="4">
    <mergeCell ref="A17:J17"/>
    <mergeCell ref="A22:J22"/>
    <mergeCell ref="A1:J1"/>
    <mergeCell ref="A9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I13" sqref="I13"/>
    </sheetView>
  </sheetViews>
  <sheetFormatPr baseColWidth="10" defaultColWidth="0" defaultRowHeight="15" zeroHeight="1" x14ac:dyDescent="0.25"/>
  <cols>
    <col min="1" max="1" width="14.140625" bestFit="1" customWidth="1"/>
    <col min="2" max="2" width="18.28515625" bestFit="1" customWidth="1"/>
    <col min="3" max="3" width="18.28515625" customWidth="1"/>
    <col min="4" max="4" width="18.28515625" bestFit="1" customWidth="1"/>
    <col min="5" max="5" width="18.28515625" customWidth="1"/>
    <col min="6" max="6" width="18.28515625" bestFit="1" customWidth="1"/>
    <col min="7" max="7" width="18.28515625" customWidth="1"/>
    <col min="8" max="9" width="11.42578125" customWidth="1"/>
    <col min="10" max="10" width="0" hidden="1" customWidth="1"/>
    <col min="11" max="16384" width="11.42578125" hidden="1"/>
  </cols>
  <sheetData>
    <row r="1" spans="1:7" x14ac:dyDescent="0.25"/>
    <row r="2" spans="1:7" x14ac:dyDescent="0.25">
      <c r="A2" s="17" t="s">
        <v>15</v>
      </c>
      <c r="B2" s="18"/>
      <c r="C2" s="18"/>
      <c r="D2" s="18"/>
      <c r="E2" s="18"/>
      <c r="F2" s="18"/>
      <c r="G2" s="18"/>
    </row>
    <row r="3" spans="1:7" x14ac:dyDescent="0.25">
      <c r="A3" s="1"/>
      <c r="B3" s="18" t="s">
        <v>18</v>
      </c>
      <c r="C3" s="18"/>
      <c r="D3" s="18" t="s">
        <v>19</v>
      </c>
      <c r="E3" s="18"/>
      <c r="F3" s="18" t="s">
        <v>20</v>
      </c>
      <c r="G3" s="18"/>
    </row>
    <row r="4" spans="1:7" x14ac:dyDescent="0.25">
      <c r="A4" s="3"/>
      <c r="B4" s="2" t="s">
        <v>1</v>
      </c>
      <c r="C4" s="2" t="s">
        <v>2</v>
      </c>
      <c r="D4" s="2" t="s">
        <v>1</v>
      </c>
      <c r="E4" s="2" t="s">
        <v>2</v>
      </c>
      <c r="F4" s="2" t="s">
        <v>1</v>
      </c>
      <c r="G4" s="2" t="s">
        <v>2</v>
      </c>
    </row>
    <row r="5" spans="1:7" x14ac:dyDescent="0.25">
      <c r="A5" s="3" t="s">
        <v>11</v>
      </c>
      <c r="B5" s="4">
        <v>195664</v>
      </c>
      <c r="C5" s="4">
        <v>686306</v>
      </c>
      <c r="D5" s="4">
        <v>255321</v>
      </c>
      <c r="E5" s="4">
        <v>679443</v>
      </c>
      <c r="F5" s="4">
        <v>344047.16999999993</v>
      </c>
      <c r="G5" s="4">
        <v>673134.00898054568</v>
      </c>
    </row>
    <row r="6" spans="1:7" x14ac:dyDescent="0.25">
      <c r="A6" s="3" t="s">
        <v>16</v>
      </c>
      <c r="B6" s="4">
        <v>17095</v>
      </c>
      <c r="C6" s="4">
        <v>36121</v>
      </c>
      <c r="D6" s="4">
        <v>51859</v>
      </c>
      <c r="E6" s="4">
        <v>35760</v>
      </c>
      <c r="F6" s="4">
        <v>28111.68</v>
      </c>
      <c r="G6" s="4">
        <v>34916.703075608602</v>
      </c>
    </row>
    <row r="7" spans="1:7" x14ac:dyDescent="0.25">
      <c r="B7" s="4"/>
    </row>
    <row r="8" spans="1:7" x14ac:dyDescent="0.25">
      <c r="A8" s="17" t="s">
        <v>17</v>
      </c>
      <c r="B8" s="18"/>
      <c r="C8" s="18"/>
      <c r="D8" s="18"/>
      <c r="E8" s="18"/>
      <c r="F8" s="18"/>
      <c r="G8" s="18"/>
    </row>
    <row r="9" spans="1:7" x14ac:dyDescent="0.25">
      <c r="A9" s="3"/>
      <c r="B9" s="18" t="s">
        <v>18</v>
      </c>
      <c r="C9" s="18"/>
      <c r="D9" s="18" t="s">
        <v>19</v>
      </c>
      <c r="E9" s="18"/>
      <c r="F9" s="18" t="s">
        <v>20</v>
      </c>
      <c r="G9" s="18"/>
    </row>
    <row r="10" spans="1:7" x14ac:dyDescent="0.25">
      <c r="A10" s="3"/>
      <c r="B10" s="2" t="s">
        <v>1</v>
      </c>
      <c r="C10" s="2" t="s">
        <v>2</v>
      </c>
      <c r="D10" s="2" t="s">
        <v>1</v>
      </c>
      <c r="E10" s="2" t="s">
        <v>2</v>
      </c>
      <c r="F10" s="2" t="s">
        <v>1</v>
      </c>
      <c r="G10" s="2" t="s">
        <v>2</v>
      </c>
    </row>
    <row r="11" spans="1:7" x14ac:dyDescent="0.25">
      <c r="A11" s="3" t="s">
        <v>11</v>
      </c>
      <c r="B11" s="4">
        <v>34696116</v>
      </c>
      <c r="C11" s="4">
        <v>59656226</v>
      </c>
      <c r="D11" s="4">
        <v>24413707</v>
      </c>
      <c r="E11" s="4">
        <v>57326908</v>
      </c>
      <c r="F11" s="4">
        <v>31541772</v>
      </c>
      <c r="G11" s="4">
        <v>56236004.999999978</v>
      </c>
    </row>
    <row r="12" spans="1:7" x14ac:dyDescent="0.25"/>
    <row r="13" spans="1:7" x14ac:dyDescent="0.25"/>
  </sheetData>
  <mergeCells count="8">
    <mergeCell ref="B9:C9"/>
    <mergeCell ref="D9:E9"/>
    <mergeCell ref="F9:G9"/>
    <mergeCell ref="A2:G2"/>
    <mergeCell ref="A8:G8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53"/>
  <sheetViews>
    <sheetView tabSelected="1" topLeftCell="A30" workbookViewId="0">
      <selection activeCell="H43" sqref="H43"/>
    </sheetView>
  </sheetViews>
  <sheetFormatPr baseColWidth="10" defaultRowHeight="15" x14ac:dyDescent="0.25"/>
  <cols>
    <col min="4" max="4" width="23.5703125" bestFit="1" customWidth="1"/>
    <col min="5" max="5" width="14.7109375" bestFit="1" customWidth="1"/>
    <col min="6" max="6" width="15.5703125" bestFit="1" customWidth="1"/>
  </cols>
  <sheetData>
    <row r="1" spans="1:6" x14ac:dyDescent="0.25">
      <c r="A1" s="11" t="s">
        <v>21</v>
      </c>
      <c r="B1" s="11" t="s">
        <v>22</v>
      </c>
      <c r="C1" s="11" t="s">
        <v>23</v>
      </c>
      <c r="D1" s="12" t="s">
        <v>24</v>
      </c>
      <c r="E1" s="11" t="s">
        <v>25</v>
      </c>
      <c r="F1" s="11" t="s">
        <v>2</v>
      </c>
    </row>
    <row r="2" spans="1:6" hidden="1" x14ac:dyDescent="0.25">
      <c r="A2" s="13" t="s">
        <v>26</v>
      </c>
      <c r="B2" s="13" t="s">
        <v>27</v>
      </c>
      <c r="C2" s="13"/>
      <c r="D2" s="14">
        <v>195664</v>
      </c>
      <c r="E2" s="13" t="s">
        <v>11</v>
      </c>
      <c r="F2" s="14">
        <v>686306</v>
      </c>
    </row>
    <row r="3" spans="1:6" hidden="1" x14ac:dyDescent="0.25">
      <c r="A3" s="13" t="s">
        <v>26</v>
      </c>
      <c r="B3" s="13" t="s">
        <v>27</v>
      </c>
      <c r="C3" s="13"/>
      <c r="D3" s="14">
        <v>17095</v>
      </c>
      <c r="E3" s="13" t="s">
        <v>16</v>
      </c>
      <c r="F3" s="14">
        <v>36121</v>
      </c>
    </row>
    <row r="4" spans="1:6" hidden="1" x14ac:dyDescent="0.25">
      <c r="A4" s="13" t="s">
        <v>26</v>
      </c>
      <c r="B4" s="13" t="s">
        <v>28</v>
      </c>
      <c r="C4" s="13"/>
      <c r="D4" s="14">
        <v>255321</v>
      </c>
      <c r="E4" s="13" t="s">
        <v>11</v>
      </c>
      <c r="F4" s="14">
        <v>679443</v>
      </c>
    </row>
    <row r="5" spans="1:6" hidden="1" x14ac:dyDescent="0.25">
      <c r="A5" s="13" t="s">
        <v>26</v>
      </c>
      <c r="B5" s="13" t="s">
        <v>28</v>
      </c>
      <c r="C5" s="13"/>
      <c r="D5" s="14">
        <v>51859</v>
      </c>
      <c r="E5" s="13" t="s">
        <v>16</v>
      </c>
      <c r="F5" s="14">
        <v>35760</v>
      </c>
    </row>
    <row r="6" spans="1:6" hidden="1" x14ac:dyDescent="0.25">
      <c r="A6" s="13" t="s">
        <v>26</v>
      </c>
      <c r="B6" s="13" t="s">
        <v>29</v>
      </c>
      <c r="C6" s="13"/>
      <c r="D6" s="14">
        <v>344047</v>
      </c>
      <c r="E6" s="13" t="s">
        <v>11</v>
      </c>
      <c r="F6" s="14">
        <v>673134</v>
      </c>
    </row>
    <row r="7" spans="1:6" hidden="1" x14ac:dyDescent="0.25">
      <c r="A7" s="13" t="s">
        <v>26</v>
      </c>
      <c r="B7" s="13" t="s">
        <v>29</v>
      </c>
      <c r="C7" s="13"/>
      <c r="D7" s="14">
        <v>28112</v>
      </c>
      <c r="E7" s="13" t="s">
        <v>16</v>
      </c>
      <c r="F7" s="14">
        <v>34917</v>
      </c>
    </row>
    <row r="8" spans="1:6" hidden="1" x14ac:dyDescent="0.25">
      <c r="A8" s="13" t="s">
        <v>26</v>
      </c>
      <c r="B8" s="13" t="s">
        <v>31</v>
      </c>
      <c r="C8" s="13"/>
      <c r="D8" s="14">
        <v>50848</v>
      </c>
      <c r="E8" s="13" t="s">
        <v>11</v>
      </c>
      <c r="F8" s="14">
        <v>666401</v>
      </c>
    </row>
    <row r="9" spans="1:6" hidden="1" x14ac:dyDescent="0.25">
      <c r="A9" s="13" t="s">
        <v>26</v>
      </c>
      <c r="B9" s="15" t="s">
        <v>31</v>
      </c>
      <c r="C9" s="13"/>
      <c r="D9" s="14">
        <v>1486</v>
      </c>
      <c r="E9" s="13" t="s">
        <v>16</v>
      </c>
      <c r="F9" s="14">
        <v>34567</v>
      </c>
    </row>
    <row r="10" spans="1:6" hidden="1" x14ac:dyDescent="0.25">
      <c r="A10" s="13" t="s">
        <v>30</v>
      </c>
      <c r="B10" s="13" t="s">
        <v>27</v>
      </c>
      <c r="C10" s="13"/>
      <c r="D10" s="14">
        <v>34696116</v>
      </c>
      <c r="E10" s="13" t="s">
        <v>11</v>
      </c>
      <c r="F10" s="14">
        <v>59656226</v>
      </c>
    </row>
    <row r="11" spans="1:6" hidden="1" x14ac:dyDescent="0.25">
      <c r="A11" s="13" t="s">
        <v>30</v>
      </c>
      <c r="B11" s="13" t="s">
        <v>28</v>
      </c>
      <c r="C11" s="13"/>
      <c r="D11" s="14">
        <v>24413707</v>
      </c>
      <c r="E11" s="13" t="s">
        <v>11</v>
      </c>
      <c r="F11" s="14">
        <v>57326908</v>
      </c>
    </row>
    <row r="12" spans="1:6" hidden="1" x14ac:dyDescent="0.25">
      <c r="A12" s="13" t="s">
        <v>30</v>
      </c>
      <c r="B12" s="13" t="s">
        <v>29</v>
      </c>
      <c r="C12" s="13"/>
      <c r="D12" s="14">
        <v>31541772</v>
      </c>
      <c r="E12" s="13" t="s">
        <v>11</v>
      </c>
      <c r="F12" s="14">
        <v>56236005</v>
      </c>
    </row>
    <row r="13" spans="1:6" hidden="1" x14ac:dyDescent="0.25">
      <c r="A13" s="13" t="s">
        <v>30</v>
      </c>
      <c r="B13" s="15" t="s">
        <v>31</v>
      </c>
      <c r="C13" s="13"/>
      <c r="D13" s="14">
        <v>1155931</v>
      </c>
      <c r="E13" s="13" t="s">
        <v>11</v>
      </c>
      <c r="F13" s="14">
        <v>55312668</v>
      </c>
    </row>
    <row r="14" spans="1:6" hidden="1" x14ac:dyDescent="0.25">
      <c r="A14" s="13" t="s">
        <v>0</v>
      </c>
      <c r="B14" s="13" t="s">
        <v>27</v>
      </c>
      <c r="C14" s="16"/>
      <c r="D14" s="14">
        <v>3636114968</v>
      </c>
      <c r="E14" s="13" t="s">
        <v>4</v>
      </c>
      <c r="F14" s="14">
        <v>3700944923</v>
      </c>
    </row>
    <row r="15" spans="1:6" hidden="1" x14ac:dyDescent="0.25">
      <c r="A15" s="13" t="s">
        <v>0</v>
      </c>
      <c r="B15" s="13" t="s">
        <v>27</v>
      </c>
      <c r="C15" s="16"/>
      <c r="D15" s="14">
        <v>526995026</v>
      </c>
      <c r="E15" s="13" t="s">
        <v>5</v>
      </c>
      <c r="F15" s="14">
        <v>731000000</v>
      </c>
    </row>
    <row r="16" spans="1:6" hidden="1" x14ac:dyDescent="0.25">
      <c r="A16" s="13" t="s">
        <v>0</v>
      </c>
      <c r="B16" s="13" t="s">
        <v>27</v>
      </c>
      <c r="C16" s="16"/>
      <c r="D16" s="14">
        <v>446925778</v>
      </c>
      <c r="E16" s="13" t="s">
        <v>6</v>
      </c>
      <c r="F16" s="14">
        <v>526000000</v>
      </c>
    </row>
    <row r="17" spans="1:6" hidden="1" x14ac:dyDescent="0.25">
      <c r="A17" s="13" t="s">
        <v>0</v>
      </c>
      <c r="B17" s="13" t="s">
        <v>27</v>
      </c>
      <c r="C17" s="16"/>
      <c r="D17" s="14">
        <v>1762093836</v>
      </c>
      <c r="E17" s="13" t="s">
        <v>7</v>
      </c>
      <c r="F17" s="14">
        <v>2198486351</v>
      </c>
    </row>
    <row r="18" spans="1:6" hidden="1" x14ac:dyDescent="0.25">
      <c r="A18" s="13" t="s">
        <v>0</v>
      </c>
      <c r="B18" s="13" t="s">
        <v>27</v>
      </c>
      <c r="C18" s="16"/>
      <c r="D18" s="14">
        <v>398022989</v>
      </c>
      <c r="E18" s="13" t="s">
        <v>8</v>
      </c>
      <c r="F18" s="14">
        <v>442000000</v>
      </c>
    </row>
    <row r="19" spans="1:6" hidden="1" x14ac:dyDescent="0.25">
      <c r="A19" s="13" t="s">
        <v>0</v>
      </c>
      <c r="B19" s="13" t="s">
        <v>28</v>
      </c>
      <c r="C19" s="16"/>
      <c r="D19" s="14">
        <v>3854192694</v>
      </c>
      <c r="E19" s="13" t="s">
        <v>4</v>
      </c>
      <c r="F19" s="14">
        <v>4171970395</v>
      </c>
    </row>
    <row r="20" spans="1:6" hidden="1" x14ac:dyDescent="0.25">
      <c r="A20" s="13" t="s">
        <v>0</v>
      </c>
      <c r="B20" s="13" t="s">
        <v>28</v>
      </c>
      <c r="C20" s="16"/>
      <c r="D20" s="14">
        <v>406519983</v>
      </c>
      <c r="E20" s="13" t="s">
        <v>5</v>
      </c>
      <c r="F20" s="14">
        <v>544312563</v>
      </c>
    </row>
    <row r="21" spans="1:6" hidden="1" x14ac:dyDescent="0.25">
      <c r="A21" s="13" t="s">
        <v>0</v>
      </c>
      <c r="B21" s="13" t="s">
        <v>28</v>
      </c>
      <c r="C21" s="16"/>
      <c r="D21" s="14">
        <v>402966000</v>
      </c>
      <c r="E21" s="13" t="s">
        <v>6</v>
      </c>
      <c r="F21" s="14">
        <v>526000000</v>
      </c>
    </row>
    <row r="22" spans="1:6" hidden="1" x14ac:dyDescent="0.25">
      <c r="A22" s="13" t="s">
        <v>0</v>
      </c>
      <c r="B22" s="13" t="s">
        <v>28</v>
      </c>
      <c r="C22" s="16"/>
      <c r="D22" s="14">
        <v>1980786257</v>
      </c>
      <c r="E22" s="13" t="s">
        <v>7</v>
      </c>
      <c r="F22" s="14">
        <v>2198486351</v>
      </c>
    </row>
    <row r="23" spans="1:6" hidden="1" x14ac:dyDescent="0.25">
      <c r="A23" s="13" t="s">
        <v>0</v>
      </c>
      <c r="B23" s="13" t="s">
        <v>28</v>
      </c>
      <c r="C23" s="16"/>
      <c r="D23" s="14">
        <v>407150732</v>
      </c>
      <c r="E23" s="13" t="s">
        <v>8</v>
      </c>
      <c r="F23" s="14">
        <v>442000000</v>
      </c>
    </row>
    <row r="24" spans="1:6" hidden="1" x14ac:dyDescent="0.25">
      <c r="A24" s="13" t="s">
        <v>0</v>
      </c>
      <c r="B24" s="13" t="s">
        <v>29</v>
      </c>
      <c r="C24" s="16"/>
      <c r="D24" s="14">
        <v>4562317336</v>
      </c>
      <c r="E24" s="13" t="s">
        <v>4</v>
      </c>
      <c r="F24" s="14">
        <v>4370817534</v>
      </c>
    </row>
    <row r="25" spans="1:6" hidden="1" x14ac:dyDescent="0.25">
      <c r="A25" s="13" t="s">
        <v>0</v>
      </c>
      <c r="B25" s="13" t="s">
        <v>29</v>
      </c>
      <c r="C25" s="16"/>
      <c r="D25" s="14">
        <v>433822660</v>
      </c>
      <c r="E25" s="13" t="s">
        <v>5</v>
      </c>
      <c r="F25" s="14">
        <v>536914905</v>
      </c>
    </row>
    <row r="26" spans="1:6" hidden="1" x14ac:dyDescent="0.25">
      <c r="A26" s="13" t="s">
        <v>0</v>
      </c>
      <c r="B26" s="13" t="s">
        <v>29</v>
      </c>
      <c r="C26" s="16"/>
      <c r="D26" s="14">
        <v>326000000</v>
      </c>
      <c r="E26" s="13" t="s">
        <v>6</v>
      </c>
      <c r="F26" s="14">
        <v>460000000</v>
      </c>
    </row>
    <row r="27" spans="1:6" hidden="1" x14ac:dyDescent="0.25">
      <c r="A27" s="13" t="s">
        <v>0</v>
      </c>
      <c r="B27" s="13" t="s">
        <v>29</v>
      </c>
      <c r="C27" s="16"/>
      <c r="D27" s="14">
        <v>1664661729</v>
      </c>
      <c r="E27" s="13" t="s">
        <v>7</v>
      </c>
      <c r="F27" s="14">
        <v>2198486351</v>
      </c>
    </row>
    <row r="28" spans="1:6" hidden="1" x14ac:dyDescent="0.25">
      <c r="A28" s="13" t="s">
        <v>0</v>
      </c>
      <c r="B28" s="13" t="s">
        <v>29</v>
      </c>
      <c r="C28" s="16"/>
      <c r="D28" s="14">
        <v>402586860</v>
      </c>
      <c r="E28" s="13" t="s">
        <v>8</v>
      </c>
      <c r="F28" s="14">
        <v>442000000</v>
      </c>
    </row>
    <row r="29" spans="1:6" x14ac:dyDescent="0.25">
      <c r="A29" s="13" t="s">
        <v>9</v>
      </c>
      <c r="B29" s="13" t="s">
        <v>27</v>
      </c>
      <c r="C29" s="16"/>
      <c r="D29" s="14">
        <v>365929391</v>
      </c>
      <c r="E29" s="13" t="s">
        <v>10</v>
      </c>
      <c r="F29" s="14">
        <v>436896913</v>
      </c>
    </row>
    <row r="30" spans="1:6" x14ac:dyDescent="0.25">
      <c r="A30" s="13" t="s">
        <v>9</v>
      </c>
      <c r="B30" s="13" t="s">
        <v>27</v>
      </c>
      <c r="C30" s="16"/>
      <c r="D30" s="14">
        <v>259932006</v>
      </c>
      <c r="E30" s="13" t="s">
        <v>11</v>
      </c>
      <c r="F30" s="14">
        <v>272555316</v>
      </c>
    </row>
    <row r="31" spans="1:6" x14ac:dyDescent="0.25">
      <c r="A31" s="13" t="s">
        <v>9</v>
      </c>
      <c r="B31" s="13" t="s">
        <v>27</v>
      </c>
      <c r="C31" s="16"/>
      <c r="D31" s="14">
        <v>295076347</v>
      </c>
      <c r="E31" s="13" t="s">
        <v>12</v>
      </c>
      <c r="F31" s="14">
        <v>475125393</v>
      </c>
    </row>
    <row r="32" spans="1:6" x14ac:dyDescent="0.25">
      <c r="A32" s="13" t="s">
        <v>9</v>
      </c>
      <c r="B32" s="13" t="s">
        <v>27</v>
      </c>
      <c r="C32" s="16"/>
      <c r="D32" s="14">
        <v>358203297</v>
      </c>
      <c r="E32" s="13" t="s">
        <v>13</v>
      </c>
      <c r="F32" s="14">
        <v>393446001</v>
      </c>
    </row>
    <row r="33" spans="1:8" x14ac:dyDescent="0.25">
      <c r="A33" s="13" t="s">
        <v>9</v>
      </c>
      <c r="B33" s="13" t="s">
        <v>27</v>
      </c>
      <c r="C33" s="16"/>
      <c r="D33" s="14">
        <v>858936494</v>
      </c>
      <c r="E33" s="13" t="s">
        <v>14</v>
      </c>
      <c r="F33" s="14">
        <v>742821275</v>
      </c>
    </row>
    <row r="34" spans="1:8" x14ac:dyDescent="0.25">
      <c r="A34" s="13" t="s">
        <v>9</v>
      </c>
      <c r="B34" s="13" t="s">
        <v>28</v>
      </c>
      <c r="C34" s="16"/>
      <c r="D34" s="14">
        <v>333077964</v>
      </c>
      <c r="E34" s="13" t="s">
        <v>10</v>
      </c>
      <c r="F34" s="14">
        <v>419838521</v>
      </c>
    </row>
    <row r="35" spans="1:8" x14ac:dyDescent="0.25">
      <c r="A35" s="13" t="s">
        <v>9</v>
      </c>
      <c r="B35" s="13" t="s">
        <v>28</v>
      </c>
      <c r="C35" s="16"/>
      <c r="D35" s="14">
        <v>279743195</v>
      </c>
      <c r="E35" s="13" t="s">
        <v>11</v>
      </c>
      <c r="F35" s="14">
        <v>261913548</v>
      </c>
    </row>
    <row r="36" spans="1:8" x14ac:dyDescent="0.25">
      <c r="A36" s="13" t="s">
        <v>9</v>
      </c>
      <c r="B36" s="13" t="s">
        <v>28</v>
      </c>
      <c r="C36" s="16"/>
      <c r="D36" s="14">
        <v>160861209</v>
      </c>
      <c r="E36" s="13" t="s">
        <v>12</v>
      </c>
      <c r="F36" s="14">
        <v>456574392</v>
      </c>
    </row>
    <row r="37" spans="1:8" x14ac:dyDescent="0.25">
      <c r="A37" s="13" t="s">
        <v>9</v>
      </c>
      <c r="B37" s="13" t="s">
        <v>28</v>
      </c>
      <c r="C37" s="16"/>
      <c r="D37" s="14">
        <v>386022854</v>
      </c>
      <c r="E37" s="13" t="s">
        <v>13</v>
      </c>
      <c r="F37" s="14">
        <v>378084125</v>
      </c>
    </row>
    <row r="38" spans="1:8" x14ac:dyDescent="0.25">
      <c r="A38" s="13" t="s">
        <v>9</v>
      </c>
      <c r="B38" s="13" t="s">
        <v>28</v>
      </c>
      <c r="C38" s="16"/>
      <c r="D38" s="14">
        <v>777000000</v>
      </c>
      <c r="E38" s="13" t="s">
        <v>14</v>
      </c>
      <c r="F38" s="14">
        <v>735760951</v>
      </c>
    </row>
    <row r="39" spans="1:8" x14ac:dyDescent="0.25">
      <c r="A39" s="13" t="s">
        <v>9</v>
      </c>
      <c r="B39" s="13" t="s">
        <v>29</v>
      </c>
      <c r="C39" s="16"/>
      <c r="D39" s="14">
        <v>276368649</v>
      </c>
      <c r="E39" s="13" t="s">
        <v>10</v>
      </c>
      <c r="F39" s="14">
        <v>411849966</v>
      </c>
    </row>
    <row r="40" spans="1:8" x14ac:dyDescent="0.25">
      <c r="A40" s="13" t="s">
        <v>9</v>
      </c>
      <c r="B40" s="13" t="s">
        <v>29</v>
      </c>
      <c r="C40" s="16"/>
      <c r="D40" s="14">
        <v>161107003</v>
      </c>
      <c r="E40" s="13" t="s">
        <v>11</v>
      </c>
      <c r="F40" s="14">
        <v>256929940</v>
      </c>
    </row>
    <row r="41" spans="1:8" x14ac:dyDescent="0.25">
      <c r="A41" s="13" t="s">
        <v>9</v>
      </c>
      <c r="B41" s="13" t="s">
        <v>29</v>
      </c>
      <c r="C41" s="16"/>
      <c r="D41" s="14">
        <v>104960983</v>
      </c>
      <c r="E41" s="13" t="s">
        <v>12</v>
      </c>
      <c r="F41" s="14">
        <v>447886838</v>
      </c>
    </row>
    <row r="42" spans="1:8" x14ac:dyDescent="0.25">
      <c r="A42" s="13" t="s">
        <v>9</v>
      </c>
      <c r="B42" s="13" t="s">
        <v>29</v>
      </c>
      <c r="C42" s="16"/>
      <c r="D42" s="14">
        <v>241464096</v>
      </c>
      <c r="E42" s="13" t="s">
        <v>13</v>
      </c>
      <c r="F42" s="14">
        <v>370890060</v>
      </c>
    </row>
    <row r="43" spans="1:8" x14ac:dyDescent="0.25">
      <c r="A43" s="13" t="s">
        <v>9</v>
      </c>
      <c r="B43" s="13" t="s">
        <v>29</v>
      </c>
      <c r="C43" s="16"/>
      <c r="D43" s="14">
        <v>550662167</v>
      </c>
      <c r="E43" s="13" t="s">
        <v>14</v>
      </c>
      <c r="F43" s="14">
        <v>728636665</v>
      </c>
      <c r="H43" s="23"/>
    </row>
    <row r="44" spans="1:8" x14ac:dyDescent="0.25">
      <c r="A44" s="13" t="s">
        <v>9</v>
      </c>
      <c r="B44" s="13" t="s">
        <v>31</v>
      </c>
      <c r="C44" s="16"/>
      <c r="D44" s="14">
        <v>44152948</v>
      </c>
      <c r="E44" s="13" t="s">
        <v>14</v>
      </c>
      <c r="F44" s="22">
        <v>761426941</v>
      </c>
    </row>
    <row r="45" spans="1:8" hidden="1" x14ac:dyDescent="0.25">
      <c r="A45" s="13" t="s">
        <v>0</v>
      </c>
      <c r="B45" s="13" t="s">
        <v>31</v>
      </c>
      <c r="C45" s="16"/>
      <c r="D45" s="20">
        <v>29308300</v>
      </c>
      <c r="E45" s="13" t="s">
        <v>6</v>
      </c>
      <c r="F45" s="21">
        <v>460000000</v>
      </c>
    </row>
    <row r="46" spans="1:8" hidden="1" x14ac:dyDescent="0.25">
      <c r="A46" s="13" t="s">
        <v>0</v>
      </c>
      <c r="B46" s="13" t="s">
        <v>31</v>
      </c>
      <c r="C46" s="16"/>
      <c r="D46" s="14">
        <v>189726375</v>
      </c>
      <c r="E46" s="13" t="s">
        <v>4</v>
      </c>
      <c r="F46" s="21">
        <v>4370817534</v>
      </c>
    </row>
    <row r="47" spans="1:8" hidden="1" x14ac:dyDescent="0.25">
      <c r="A47" s="13" t="s">
        <v>0</v>
      </c>
      <c r="B47" s="13" t="s">
        <v>31</v>
      </c>
      <c r="C47" s="16"/>
      <c r="D47" s="14"/>
      <c r="E47" s="13" t="s">
        <v>5</v>
      </c>
      <c r="F47" s="21">
        <v>536914905</v>
      </c>
    </row>
    <row r="48" spans="1:8" hidden="1" x14ac:dyDescent="0.25">
      <c r="A48" s="13" t="s">
        <v>0</v>
      </c>
      <c r="B48" s="13" t="s">
        <v>31</v>
      </c>
      <c r="C48" s="16"/>
      <c r="D48" s="14"/>
      <c r="E48" s="13" t="s">
        <v>7</v>
      </c>
      <c r="F48" s="21">
        <v>2198486351</v>
      </c>
    </row>
    <row r="49" spans="1:6" hidden="1" x14ac:dyDescent="0.25">
      <c r="A49" s="13" t="s">
        <v>0</v>
      </c>
      <c r="B49" s="13" t="s">
        <v>31</v>
      </c>
      <c r="C49" s="16"/>
      <c r="D49" s="14"/>
      <c r="E49" s="13" t="s">
        <v>8</v>
      </c>
      <c r="F49" s="21">
        <v>442000000</v>
      </c>
    </row>
    <row r="50" spans="1:6" x14ac:dyDescent="0.25">
      <c r="A50" s="13" t="s">
        <v>9</v>
      </c>
      <c r="B50" s="13" t="s">
        <v>31</v>
      </c>
      <c r="C50" s="16"/>
      <c r="D50" s="14"/>
      <c r="E50" s="13" t="s">
        <v>10</v>
      </c>
      <c r="F50" s="22">
        <v>397043851</v>
      </c>
    </row>
    <row r="51" spans="1:6" x14ac:dyDescent="0.25">
      <c r="A51" s="13" t="s">
        <v>9</v>
      </c>
      <c r="B51" s="13" t="s">
        <v>31</v>
      </c>
      <c r="C51" s="16"/>
      <c r="D51" s="14"/>
      <c r="E51" s="13" t="s">
        <v>11</v>
      </c>
      <c r="F51" s="22">
        <v>218242175</v>
      </c>
    </row>
    <row r="52" spans="1:6" x14ac:dyDescent="0.25">
      <c r="A52" s="13" t="s">
        <v>9</v>
      </c>
      <c r="B52" s="13" t="s">
        <v>31</v>
      </c>
      <c r="C52" s="16"/>
      <c r="D52" s="14"/>
      <c r="E52" s="13" t="s">
        <v>12</v>
      </c>
      <c r="F52" s="22">
        <v>245113963</v>
      </c>
    </row>
    <row r="53" spans="1:6" x14ac:dyDescent="0.25">
      <c r="A53" s="13" t="s">
        <v>9</v>
      </c>
      <c r="B53" s="13" t="s">
        <v>31</v>
      </c>
      <c r="C53" s="16"/>
      <c r="D53" s="14"/>
      <c r="E53" s="13" t="s">
        <v>13</v>
      </c>
      <c r="F53" s="22">
        <v>364800722</v>
      </c>
    </row>
  </sheetData>
  <autoFilter ref="A1:F49" xr:uid="{00000000-0001-0000-0200-000000000000}">
    <filterColumn colId="0">
      <filters>
        <filter val="NPL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Peru y Chile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Paola Guiza Gonzalez</dc:creator>
  <cp:lastModifiedBy>Juan Camilo Castillo Quiñonez</cp:lastModifiedBy>
  <dcterms:created xsi:type="dcterms:W3CDTF">2025-12-01T16:39:52Z</dcterms:created>
  <dcterms:modified xsi:type="dcterms:W3CDTF">2025-12-09T15:04:51Z</dcterms:modified>
</cp:coreProperties>
</file>